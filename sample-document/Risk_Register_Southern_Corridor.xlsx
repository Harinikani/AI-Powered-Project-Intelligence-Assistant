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Metadata" sheetId="4" state="visible" r:id="rId4"/>
  </sheets>
  <definedNames>
    <definedName name="_xlnm._FilterDatabase" localSheetId="1" hidden="1">'Risk Register'!$A$1:$S$15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2400E"/>
    </font>
    <font>
      <b val="1"/>
    </font>
    <font>
      <b val="1"/>
      <color rgb="00991B1B"/>
    </font>
    <font>
      <b val="1"/>
      <color rgb="00123A63"/>
      <sz val="14"/>
    </font>
  </fonts>
  <fills count="7">
    <fill>
      <patternFill/>
    </fill>
    <fill>
      <patternFill patternType="gray125"/>
    </fill>
    <fill>
      <patternFill patternType="solid">
        <fgColor rgb="00123A63"/>
      </patternFill>
    </fill>
    <fill>
      <patternFill patternType="solid">
        <fgColor rgb="00FEF3C7"/>
      </patternFill>
    </fill>
    <fill>
      <patternFill patternType="solid">
        <fgColor rgb="00ECFCCB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Synthetic register structure informed by common PM risk register practice: probability, impact, mitigation, contingency, owner, status.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Risk Register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active risks</t>
        </is>
      </c>
      <c r="B4">
        <f>COUNTIF('Risk Register'!P:P,"&lt;&gt;Closed")-1</f>
        <v/>
      </c>
    </row>
    <row r="5">
      <c r="A5" t="inlineStr">
        <is>
          <t>Critical risks</t>
        </is>
      </c>
      <c r="B5">
        <f>COUNTIF('Risk Register'!J:J,"Critical")</f>
        <v/>
      </c>
    </row>
    <row r="6">
      <c r="A6" t="inlineStr">
        <is>
          <t>High risks</t>
        </is>
      </c>
      <c r="B6">
        <f>COUNTIF('Risk Register'!J:J,"High")</f>
        <v/>
      </c>
    </row>
    <row r="7">
      <c r="A7" t="inlineStr">
        <is>
          <t>Monitoring / Open</t>
        </is>
      </c>
      <c r="B7">
        <f>COUNTIF('Risk Register'!P:P,"Open")+COUNTIF('Risk Register'!P:P,"Monitoring")</f>
        <v/>
      </c>
    </row>
    <row r="8">
      <c r="A8" t="inlineStr">
        <is>
          <t>Last review date</t>
        </is>
      </c>
      <c r="B8" s="3">
        <f>MAX('Risk Register'!Q:Q)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4" customWidth="1" min="4" max="4"/>
    <col width="24" customWidth="1" min="5" max="5"/>
    <col width="24" customWidth="1" min="6" max="6"/>
    <col width="13" customWidth="1" min="7" max="7"/>
    <col width="11" customWidth="1" min="8" max="8"/>
    <col width="9" customWidth="1" min="9" max="9"/>
    <col width="12" customWidth="1" min="10" max="10"/>
    <col width="16" customWidth="1" min="11" max="11"/>
    <col width="34" customWidth="1" min="12" max="12"/>
    <col width="30" customWidth="1" min="13" max="13"/>
    <col width="18" customWidth="1" min="14" max="14"/>
    <col width="12" customWidth="1" min="15" max="15"/>
    <col width="12" customWidth="1" min="16" max="16"/>
    <col width="12" customWidth="1" min="17" max="17"/>
    <col width="14" customWidth="1" min="18" max="18"/>
    <col width="20" customWidth="1" min="19" max="19"/>
  </cols>
  <sheetData>
    <row r="1">
      <c r="A1" s="4" t="inlineStr">
        <is>
          <t>Risk ID</t>
        </is>
      </c>
      <c r="B1" s="4" t="inlineStr">
        <is>
          <t>Date Raised</t>
        </is>
      </c>
      <c r="C1" s="4" t="inlineStr">
        <is>
          <t>Category</t>
        </is>
      </c>
      <c r="D1" s="4" t="inlineStr">
        <is>
          <t>Risk Description</t>
        </is>
      </c>
      <c r="E1" s="4" t="inlineStr">
        <is>
          <t>Cause / Source</t>
        </is>
      </c>
      <c r="F1" s="4" t="inlineStr">
        <is>
          <t>Trigger / Early Warning</t>
        </is>
      </c>
      <c r="G1" s="4" t="inlineStr">
        <is>
          <t>Probability (1-5)</t>
        </is>
      </c>
      <c r="H1" s="4" t="inlineStr">
        <is>
          <t>Impact (1-5)</t>
        </is>
      </c>
      <c r="I1" s="4" t="inlineStr">
        <is>
          <t>Score</t>
        </is>
      </c>
      <c r="J1" s="4" t="inlineStr">
        <is>
          <t>Priority Band</t>
        </is>
      </c>
      <c r="K1" s="4" t="inlineStr">
        <is>
          <t>Response Strategy</t>
        </is>
      </c>
      <c r="L1" s="4" t="inlineStr">
        <is>
          <t>Mitigation Action</t>
        </is>
      </c>
      <c r="M1" s="4" t="inlineStr">
        <is>
          <t>Contingency / Fallback</t>
        </is>
      </c>
      <c r="N1" s="4" t="inlineStr">
        <is>
          <t>Owner</t>
        </is>
      </c>
      <c r="O1" s="4" t="inlineStr">
        <is>
          <t>Target Date</t>
        </is>
      </c>
      <c r="P1" s="4" t="inlineStr">
        <is>
          <t>Status</t>
        </is>
      </c>
      <c r="Q1" s="4" t="inlineStr">
        <is>
          <t>Last Review</t>
        </is>
      </c>
      <c r="R1" s="4" t="inlineStr">
        <is>
          <t>Linked Report Ref</t>
        </is>
      </c>
      <c r="S1" s="4" t="inlineStr">
        <is>
          <t>Notes</t>
        </is>
      </c>
    </row>
    <row r="2">
      <c r="A2" s="5" t="inlineStr">
        <is>
          <t>R-01</t>
        </is>
      </c>
      <c r="B2" s="6" t="inlineStr">
        <is>
          <t>2026-02-03</t>
        </is>
      </c>
      <c r="C2" s="5" t="inlineStr">
        <is>
          <t>Interface</t>
        </is>
      </c>
      <c r="D2" s="5" t="inlineStr">
        <is>
          <t>SCADA broker and analytics middleware may not handshake on first live test</t>
        </is>
      </c>
      <c r="E2" s="5" t="inlineStr">
        <is>
          <t>Protocol mapping changed after IFC rev B</t>
        </is>
      </c>
      <c r="F2" s="5" t="inlineStr">
        <is>
          <t>Repeated packet drops during simulator test</t>
        </is>
      </c>
      <c r="G2" s="5" t="n">
        <v>3</v>
      </c>
      <c r="H2" s="5" t="n">
        <v>4</v>
      </c>
      <c r="I2" s="7">
        <f>G2*H2</f>
        <v/>
      </c>
      <c r="J2" s="7">
        <f>IF(I2&gt;=15,"Critical",IF(I2&gt;=10,"High",IF(I2&gt;=5,"Medium","Low")))</f>
        <v/>
      </c>
      <c r="K2" s="5" t="inlineStr">
        <is>
          <t>Mitigate</t>
        </is>
      </c>
      <c r="L2" s="5" t="inlineStr">
        <is>
          <t>Freeze interface matrix and run dry tests with mirrored traffic</t>
        </is>
      </c>
      <c r="M2" s="5" t="inlineStr">
        <is>
          <t>Switch to offline event buffering during first week of operation</t>
        </is>
      </c>
      <c r="N2" s="5" t="inlineStr">
        <is>
          <t>Systems PM</t>
        </is>
      </c>
      <c r="O2" s="6" t="inlineStr">
        <is>
          <t>2026-03-05</t>
        </is>
      </c>
      <c r="P2" s="5" t="inlineStr">
        <is>
          <t>Open</t>
        </is>
      </c>
      <c r="Q2" s="6" t="inlineStr">
        <is>
          <t>2026-03-29</t>
        </is>
      </c>
      <c r="R2" s="5" t="inlineStr">
        <is>
          <t>Feb/Mar reports</t>
        </is>
      </c>
      <c r="S2" s="5" t="inlineStr"/>
    </row>
    <row r="3">
      <c r="A3" s="5" t="inlineStr">
        <is>
          <t>R-02</t>
        </is>
      </c>
      <c r="B3" s="6" t="inlineStr">
        <is>
          <t>2026-02-04</t>
        </is>
      </c>
      <c r="C3" s="5" t="inlineStr">
        <is>
          <t>Stakeholder</t>
        </is>
      </c>
      <c r="D3" s="5" t="inlineStr">
        <is>
          <t>Depot operations may restrict access windows during festive period</t>
        </is>
      </c>
      <c r="E3" s="5" t="inlineStr">
        <is>
          <t>Higher bus utilisation forecast</t>
        </is>
      </c>
      <c r="F3" s="5" t="inlineStr">
        <is>
          <t>Access booking rejected or shortened twice in same week</t>
        </is>
      </c>
      <c r="G3" s="5" t="n">
        <v>3</v>
      </c>
      <c r="H3" s="5" t="n">
        <v>4</v>
      </c>
      <c r="I3" s="7">
        <f>G3*H3</f>
        <v/>
      </c>
      <c r="J3" s="7">
        <f>IF(I3&gt;=15,"Critical",IF(I3&gt;=10,"High",IF(I3&gt;=5,"Medium","Low")))</f>
        <v/>
      </c>
      <c r="K3" s="5" t="inlineStr">
        <is>
          <t>Mitigate</t>
        </is>
      </c>
      <c r="L3" s="5" t="inlineStr">
        <is>
          <t>Secure weekend windows 2 weeks ahead and pre-stage kits</t>
        </is>
      </c>
      <c r="M3" s="5" t="inlineStr">
        <is>
          <t>Move non-live testing to warehouse mock-up</t>
        </is>
      </c>
      <c r="N3" s="5" t="inlineStr">
        <is>
          <t>Ops Coordinator</t>
        </is>
      </c>
      <c r="O3" s="6" t="inlineStr">
        <is>
          <t>2026-04-02</t>
        </is>
      </c>
      <c r="P3" s="5" t="inlineStr">
        <is>
          <t>Open</t>
        </is>
      </c>
      <c r="Q3" s="6" t="inlineStr">
        <is>
          <t>2026-03-31</t>
        </is>
      </c>
      <c r="R3" s="5" t="inlineStr">
        <is>
          <t>Mar report</t>
        </is>
      </c>
      <c r="S3" s="5" t="inlineStr"/>
    </row>
    <row r="4">
      <c r="A4" s="5" t="inlineStr">
        <is>
          <t>R-03</t>
        </is>
      </c>
      <c r="B4" s="6" t="inlineStr">
        <is>
          <t>2026-02-06</t>
        </is>
      </c>
      <c r="C4" s="5" t="inlineStr">
        <is>
          <t>Supply Chain</t>
        </is>
      </c>
      <c r="D4" s="5" t="inlineStr">
        <is>
          <t>Imported brackets could arrive late due to port congestion</t>
        </is>
      </c>
      <c r="E4" s="5" t="inlineStr">
        <is>
          <t>Forwarder changed sailing</t>
        </is>
      </c>
      <c r="F4" s="5" t="inlineStr">
        <is>
          <t>ETA slips more than 5 days</t>
        </is>
      </c>
      <c r="G4" s="5" t="n">
        <v>2</v>
      </c>
      <c r="H4" s="5" t="n">
        <v>3</v>
      </c>
      <c r="I4" s="8">
        <f>G4*H4</f>
        <v/>
      </c>
      <c r="J4" s="8">
        <f>IF(I4&gt;=15,"Critical",IF(I4&gt;=10,"High",IF(I4&gt;=5,"Medium","Low")))</f>
        <v/>
      </c>
      <c r="K4" s="5" t="inlineStr">
        <is>
          <t>Accept/Mitigate</t>
        </is>
      </c>
      <c r="L4" s="5" t="inlineStr">
        <is>
          <t>Keep local fabricator on standby for partial remake</t>
        </is>
      </c>
      <c r="M4" s="5" t="inlineStr">
        <is>
          <t>Resequence canopy snagging around missing brackets</t>
        </is>
      </c>
      <c r="N4" s="5" t="inlineStr">
        <is>
          <t>Procurement Lead</t>
        </is>
      </c>
      <c r="O4" s="6" t="inlineStr">
        <is>
          <t>2026-03-09</t>
        </is>
      </c>
      <c r="P4" s="5" t="inlineStr">
        <is>
          <t>Closed</t>
        </is>
      </c>
      <c r="Q4" s="6" t="inlineStr">
        <is>
          <t>2026-03-12</t>
        </is>
      </c>
      <c r="R4" s="5" t="inlineStr">
        <is>
          <t>Feb report</t>
        </is>
      </c>
      <c r="S4" s="5" t="inlineStr">
        <is>
          <t>Resolved in March</t>
        </is>
      </c>
    </row>
    <row r="5">
      <c r="A5" s="5" t="inlineStr">
        <is>
          <t>R-04</t>
        </is>
      </c>
      <c r="B5" s="6" t="inlineStr">
        <is>
          <t>2026-02-07</t>
        </is>
      </c>
      <c r="C5" s="5" t="inlineStr">
        <is>
          <t>Cybersecurity</t>
        </is>
      </c>
      <c r="D5" s="5" t="inlineStr">
        <is>
          <t>Client hardening approval may delay gateway deployment</t>
        </is>
      </c>
      <c r="E5" s="5" t="inlineStr">
        <is>
          <t>Security baseline not aligned with vendor image</t>
        </is>
      </c>
      <c r="F5" s="5" t="inlineStr">
        <is>
          <t>Open findings older than 7 days</t>
        </is>
      </c>
      <c r="G5" s="5" t="n">
        <v>4</v>
      </c>
      <c r="H5" s="5" t="n">
        <v>5</v>
      </c>
      <c r="I5" s="9">
        <f>G5*H5</f>
        <v/>
      </c>
      <c r="J5" s="9">
        <f>IF(I5&gt;=15,"Critical",IF(I5&gt;=10,"High",IF(I5&gt;=5,"Medium","Low")))</f>
        <v/>
      </c>
      <c r="K5" s="5" t="inlineStr">
        <is>
          <t>Mitigate</t>
        </is>
      </c>
      <c r="L5" s="5" t="inlineStr">
        <is>
          <t>Daily tracker with client IT; split findings into must-fix vs post-go-live</t>
        </is>
      </c>
      <c r="M5" s="5" t="inlineStr">
        <is>
          <t>Use temporary rental gateways with approved image</t>
        </is>
      </c>
      <c r="N5" s="5" t="inlineStr">
        <is>
          <t>Cyber Lead</t>
        </is>
      </c>
      <c r="O5" s="6" t="inlineStr">
        <is>
          <t>2026-04-03</t>
        </is>
      </c>
      <c r="P5" s="5" t="inlineStr">
        <is>
          <t>Open</t>
        </is>
      </c>
      <c r="Q5" s="6" t="inlineStr">
        <is>
          <t>2026-03-31</t>
        </is>
      </c>
      <c r="R5" s="5" t="inlineStr">
        <is>
          <t>Feb/Mar reports</t>
        </is>
      </c>
      <c r="S5" s="5" t="inlineStr">
        <is>
          <t>Top risk</t>
        </is>
      </c>
    </row>
    <row r="6">
      <c r="A6" s="5" t="inlineStr">
        <is>
          <t>R-05</t>
        </is>
      </c>
      <c r="B6" s="6" t="inlineStr">
        <is>
          <t>2026-02-09</t>
        </is>
      </c>
      <c r="C6" s="5" t="inlineStr">
        <is>
          <t>Commercial</t>
        </is>
      </c>
      <c r="D6" s="5" t="inlineStr">
        <is>
          <t>FX movement may increase final hardware invoice value</t>
        </is>
      </c>
      <c r="E6" s="5" t="inlineStr">
        <is>
          <t>PO denominated partly in USD</t>
        </is>
      </c>
      <c r="F6" s="5" t="inlineStr">
        <is>
          <t>USD/MYR moves &gt;3% from budget rate</t>
        </is>
      </c>
      <c r="G6" s="5" t="n">
        <v>2</v>
      </c>
      <c r="H6" s="5" t="n">
        <v>3</v>
      </c>
      <c r="I6" s="8">
        <f>G6*H6</f>
        <v/>
      </c>
      <c r="J6" s="8">
        <f>IF(I6&gt;=15,"Critical",IF(I6&gt;=10,"High",IF(I6&gt;=5,"Medium","Low")))</f>
        <v/>
      </c>
      <c r="K6" s="5" t="inlineStr">
        <is>
          <t>Transfer/Mitigate</t>
        </is>
      </c>
      <c r="L6" s="5" t="inlineStr">
        <is>
          <t>Lock rate on remaining exposure</t>
        </is>
      </c>
      <c r="M6" s="5" t="inlineStr">
        <is>
          <t>Use contingency if FX clause cannot be renegotiated</t>
        </is>
      </c>
      <c r="N6" s="5" t="inlineStr">
        <is>
          <t>Commercial Mgr</t>
        </is>
      </c>
      <c r="O6" s="6" t="inlineStr">
        <is>
          <t>2026-03-15</t>
        </is>
      </c>
      <c r="P6" s="5" t="inlineStr">
        <is>
          <t>Monitoring</t>
        </is>
      </c>
      <c r="Q6" s="6" t="inlineStr">
        <is>
          <t>2026-03-20</t>
        </is>
      </c>
      <c r="R6" s="5" t="inlineStr">
        <is>
          <t>Feb report</t>
        </is>
      </c>
      <c r="S6" s="5" t="inlineStr"/>
    </row>
    <row r="7">
      <c r="A7" s="5" t="inlineStr">
        <is>
          <t>R-06</t>
        </is>
      </c>
      <c r="B7" s="6" t="inlineStr">
        <is>
          <t>2026-02-10</t>
        </is>
      </c>
      <c r="C7" s="5" t="inlineStr">
        <is>
          <t>Quality</t>
        </is>
      </c>
      <c r="D7" s="5" t="inlineStr">
        <is>
          <t>Night-shift installation may increase rework or missed labels</t>
        </is>
      </c>
      <c r="E7" s="5" t="inlineStr">
        <is>
          <t>Compressed access windows</t>
        </is>
      </c>
      <c r="F7" s="5" t="inlineStr">
        <is>
          <t>QA punch list count rises above 15 items</t>
        </is>
      </c>
      <c r="G7" s="5" t="n">
        <v>3</v>
      </c>
      <c r="H7" s="5" t="n">
        <v>3</v>
      </c>
      <c r="I7" s="8">
        <f>G7*H7</f>
        <v/>
      </c>
      <c r="J7" s="8">
        <f>IF(I7&gt;=15,"Critical",IF(I7&gt;=10,"High",IF(I7&gt;=5,"Medium","Low")))</f>
        <v/>
      </c>
      <c r="K7" s="5" t="inlineStr">
        <is>
          <t>Mitigate</t>
        </is>
      </c>
      <c r="L7" s="5" t="inlineStr">
        <is>
          <t>Add day-shift QA walkdown before energisation</t>
        </is>
      </c>
      <c r="M7" s="5" t="inlineStr">
        <is>
          <t>Hold energisation of affected zone until walkdown closure</t>
        </is>
      </c>
      <c r="N7" s="5" t="inlineStr">
        <is>
          <t>Site Manager</t>
        </is>
      </c>
      <c r="O7" s="6" t="inlineStr">
        <is>
          <t>2026-04-08</t>
        </is>
      </c>
      <c r="P7" s="5" t="inlineStr">
        <is>
          <t>Open</t>
        </is>
      </c>
      <c r="Q7" s="6" t="inlineStr">
        <is>
          <t>2026-03-31</t>
        </is>
      </c>
      <c r="R7" s="5" t="inlineStr">
        <is>
          <t>Mar report</t>
        </is>
      </c>
      <c r="S7" s="5" t="inlineStr"/>
    </row>
    <row r="8">
      <c r="A8" s="5" t="inlineStr">
        <is>
          <t>R-07</t>
        </is>
      </c>
      <c r="B8" s="6" t="inlineStr">
        <is>
          <t>2026-02-12</t>
        </is>
      </c>
      <c r="C8" s="5" t="inlineStr">
        <is>
          <t>Resource</t>
        </is>
      </c>
      <c r="D8" s="5" t="inlineStr">
        <is>
          <t>Specialist integration engineer may be reassigned to another programme</t>
        </is>
      </c>
      <c r="E8" s="5" t="inlineStr">
        <is>
          <t>Shared specialist pool across business unit</t>
        </is>
      </c>
      <c r="F8" s="5" t="inlineStr">
        <is>
          <t>Notice of reassignment or competing critical issue</t>
        </is>
      </c>
      <c r="G8" s="5" t="n">
        <v>2</v>
      </c>
      <c r="H8" s="5" t="n">
        <v>4</v>
      </c>
      <c r="I8" s="8">
        <f>G8*H8</f>
        <v/>
      </c>
      <c r="J8" s="8">
        <f>IF(I8&gt;=15,"Critical",IF(I8&gt;=10,"High",IF(I8&gt;=5,"Medium","Low")))</f>
        <v/>
      </c>
      <c r="K8" s="5" t="inlineStr">
        <is>
          <t>Mitigate</t>
        </is>
      </c>
      <c r="L8" s="5" t="inlineStr">
        <is>
          <t>Book engineer with sponsor escalation and backup vendor resource</t>
        </is>
      </c>
      <c r="M8" s="5" t="inlineStr">
        <is>
          <t>Use remote support from OEM and defer lower-priority scripts</t>
        </is>
      </c>
      <c r="N8" s="5" t="inlineStr">
        <is>
          <t>Delivery Director</t>
        </is>
      </c>
      <c r="O8" s="6" t="inlineStr">
        <is>
          <t>2026-03-22</t>
        </is>
      </c>
      <c r="P8" s="5" t="inlineStr">
        <is>
          <t>Monitoring</t>
        </is>
      </c>
      <c r="Q8" s="6" t="inlineStr">
        <is>
          <t>2026-03-28</t>
        </is>
      </c>
      <c r="R8" s="5" t="inlineStr">
        <is>
          <t>Feb report</t>
        </is>
      </c>
      <c r="S8" s="5" t="inlineStr"/>
    </row>
    <row r="9">
      <c r="A9" s="5" t="inlineStr">
        <is>
          <t>R-08</t>
        </is>
      </c>
      <c r="B9" s="6" t="inlineStr">
        <is>
          <t>2026-02-14</t>
        </is>
      </c>
      <c r="C9" s="5" t="inlineStr">
        <is>
          <t>Safety</t>
        </is>
      </c>
      <c r="D9" s="5" t="inlineStr">
        <is>
          <t>Fatigue risk due to overtime during commissioning push</t>
        </is>
      </c>
      <c r="E9" s="5" t="inlineStr">
        <is>
          <t>Back-to-back weekend and night shifts</t>
        </is>
      </c>
      <c r="F9" s="5" t="inlineStr">
        <is>
          <t>Two consecutive weeks &gt;60 hours for same crew</t>
        </is>
      </c>
      <c r="G9" s="5" t="n">
        <v>3</v>
      </c>
      <c r="H9" s="5" t="n">
        <v>4</v>
      </c>
      <c r="I9" s="7">
        <f>G9*H9</f>
        <v/>
      </c>
      <c r="J9" s="7">
        <f>IF(I9&gt;=15,"Critical",IF(I9&gt;=10,"High",IF(I9&gt;=5,"Medium","Low")))</f>
        <v/>
      </c>
      <c r="K9" s="5" t="inlineStr">
        <is>
          <t>Mitigate</t>
        </is>
      </c>
      <c r="L9" s="5" t="inlineStr">
        <is>
          <t>Rotate crews and enforce rest roster</t>
        </is>
      </c>
      <c r="M9" s="5" t="inlineStr">
        <is>
          <t>Suspend non-critical testing for one shift cycle</t>
        </is>
      </c>
      <c r="N9" s="5" t="inlineStr">
        <is>
          <t>HSE Lead</t>
        </is>
      </c>
      <c r="O9" s="6" t="inlineStr">
        <is>
          <t>2026-04-10</t>
        </is>
      </c>
      <c r="P9" s="5" t="inlineStr">
        <is>
          <t>Open</t>
        </is>
      </c>
      <c r="Q9" s="6" t="inlineStr">
        <is>
          <t>2026-03-31</t>
        </is>
      </c>
      <c r="R9" s="5" t="inlineStr">
        <is>
          <t>Mar report</t>
        </is>
      </c>
      <c r="S9" s="5" t="inlineStr"/>
    </row>
    <row r="10">
      <c r="A10" s="5" t="inlineStr">
        <is>
          <t>R-09</t>
        </is>
      </c>
      <c r="B10" s="6" t="inlineStr">
        <is>
          <t>2026-03-03</t>
        </is>
      </c>
      <c r="C10" s="5" t="inlineStr">
        <is>
          <t>Operations</t>
        </is>
      </c>
      <c r="D10" s="5" t="inlineStr">
        <is>
          <t>Weekend access may be cancelled at short notice</t>
        </is>
      </c>
      <c r="E10" s="5" t="inlineStr">
        <is>
          <t>Seasonal ridership demand</t>
        </is>
      </c>
      <c r="F10" s="5" t="inlineStr">
        <is>
          <t>Ops advisory flags depot utilisation &gt;90%</t>
        </is>
      </c>
      <c r="G10" s="5" t="n">
        <v>3</v>
      </c>
      <c r="H10" s="5" t="n">
        <v>4</v>
      </c>
      <c r="I10" s="7">
        <f>G10*H10</f>
        <v/>
      </c>
      <c r="J10" s="7">
        <f>IF(I10&gt;=15,"Critical",IF(I10&gt;=10,"High",IF(I10&gt;=5,"Medium","Low")))</f>
        <v/>
      </c>
      <c r="K10" s="5" t="inlineStr">
        <is>
          <t>Mitigate</t>
        </is>
      </c>
      <c r="L10" s="5" t="inlineStr">
        <is>
          <t>Confirm standby dates and hold crew on modular task packs</t>
        </is>
      </c>
      <c r="M10" s="5" t="inlineStr">
        <is>
          <t>Flip to offsite pre-config + weekday micro-windows</t>
        </is>
      </c>
      <c r="N10" s="5" t="inlineStr">
        <is>
          <t>Ops Coordinator</t>
        </is>
      </c>
      <c r="O10" s="6" t="inlineStr">
        <is>
          <t>2026-04-05</t>
        </is>
      </c>
      <c r="P10" s="5" t="inlineStr">
        <is>
          <t>Open</t>
        </is>
      </c>
      <c r="Q10" s="6" t="inlineStr">
        <is>
          <t>2026-03-31</t>
        </is>
      </c>
      <c r="R10" s="5" t="inlineStr">
        <is>
          <t>Mar report</t>
        </is>
      </c>
      <c r="S10" s="5" t="inlineStr">
        <is>
          <t>New in March</t>
        </is>
      </c>
    </row>
    <row r="11">
      <c r="A11" s="5" t="inlineStr">
        <is>
          <t>R-10</t>
        </is>
      </c>
      <c r="B11" s="6" t="inlineStr">
        <is>
          <t>2026-03-05</t>
        </is>
      </c>
      <c r="C11" s="5" t="inlineStr">
        <is>
          <t>Data</t>
        </is>
      </c>
      <c r="D11" s="5" t="inlineStr">
        <is>
          <t>Training dataset quality may be weaker than assumed for rare vehicle movements</t>
        </is>
      </c>
      <c r="E11" s="5" t="inlineStr">
        <is>
          <t>Historic clips not labelled consistently</t>
        </is>
      </c>
      <c r="F11" s="5" t="inlineStr">
        <is>
          <t>False positive rate &gt;8% in UAT</t>
        </is>
      </c>
      <c r="G11" s="5" t="n">
        <v>2</v>
      </c>
      <c r="H11" s="5" t="n">
        <v>3</v>
      </c>
      <c r="I11" s="8">
        <f>G11*H11</f>
        <v/>
      </c>
      <c r="J11" s="8">
        <f>IF(I11&gt;=15,"Critical",IF(I11&gt;=10,"High",IF(I11&gt;=5,"Medium","Low")))</f>
        <v/>
      </c>
      <c r="K11" s="5" t="inlineStr">
        <is>
          <t>Mitigate</t>
        </is>
      </c>
      <c r="L11" s="5" t="inlineStr">
        <is>
          <t>Expand labelled set for wash bay and reverse parking events</t>
        </is>
      </c>
      <c r="M11" s="5" t="inlineStr">
        <is>
          <t>Reduce scope of phase-1 model rules and retrain after go-live</t>
        </is>
      </c>
      <c r="N11" s="5" t="inlineStr">
        <is>
          <t>AI Lead</t>
        </is>
      </c>
      <c r="O11" s="6" t="inlineStr">
        <is>
          <t>2026-04-12</t>
        </is>
      </c>
      <c r="P11" s="5" t="inlineStr">
        <is>
          <t>Open</t>
        </is>
      </c>
      <c r="Q11" s="6" t="inlineStr">
        <is>
          <t>2026-03-30</t>
        </is>
      </c>
      <c r="R11" s="5" t="inlineStr">
        <is>
          <t>Mar report</t>
        </is>
      </c>
      <c r="S11" s="5" t="inlineStr"/>
    </row>
    <row r="12">
      <c r="A12" s="5" t="inlineStr">
        <is>
          <t>R-11</t>
        </is>
      </c>
      <c r="B12" s="6" t="inlineStr">
        <is>
          <t>2026-03-09</t>
        </is>
      </c>
      <c r="C12" s="5" t="inlineStr">
        <is>
          <t>People</t>
        </is>
      </c>
      <c r="D12" s="5" t="inlineStr">
        <is>
          <t>Overtime fatigue may increase defect leakage and minor incidents</t>
        </is>
      </c>
      <c r="E12" s="5" t="inlineStr">
        <is>
          <t>Recovery plan adds night/weekend work</t>
        </is>
      </c>
      <c r="F12" s="5" t="inlineStr">
        <is>
          <t>Defect reopen count &gt;2 in same test pack</t>
        </is>
      </c>
      <c r="G12" s="5" t="n">
        <v>3</v>
      </c>
      <c r="H12" s="5" t="n">
        <v>3</v>
      </c>
      <c r="I12" s="8">
        <f>G12*H12</f>
        <v/>
      </c>
      <c r="J12" s="8">
        <f>IF(I12&gt;=15,"Critical",IF(I12&gt;=10,"High",IF(I12&gt;=5,"Medium","Low")))</f>
        <v/>
      </c>
      <c r="K12" s="5" t="inlineStr">
        <is>
          <t>Mitigate</t>
        </is>
      </c>
      <c r="L12" s="5" t="inlineStr">
        <is>
          <t>Add peer review for configuration changes after 11pm</t>
        </is>
      </c>
      <c r="M12" s="5" t="inlineStr">
        <is>
          <t>Slow recovery plan and use reserve days</t>
        </is>
      </c>
      <c r="N12" s="5" t="inlineStr">
        <is>
          <t>Site Manager</t>
        </is>
      </c>
      <c r="O12" s="6" t="inlineStr">
        <is>
          <t>2026-04-09</t>
        </is>
      </c>
      <c r="P12" s="5" t="inlineStr">
        <is>
          <t>Open</t>
        </is>
      </c>
      <c r="Q12" s="6" t="inlineStr">
        <is>
          <t>2026-03-31</t>
        </is>
      </c>
      <c r="R12" s="5" t="inlineStr">
        <is>
          <t>Mar report</t>
        </is>
      </c>
      <c r="S12" s="5" t="inlineStr">
        <is>
          <t>Similar to R-08 but quality-driven</t>
        </is>
      </c>
    </row>
    <row r="13">
      <c r="A13" s="5" t="inlineStr">
        <is>
          <t>R-12</t>
        </is>
      </c>
      <c r="B13" s="6" t="inlineStr">
        <is>
          <t>2026-03-12</t>
        </is>
      </c>
      <c r="C13" s="5" t="inlineStr">
        <is>
          <t>Budget</t>
        </is>
      </c>
      <c r="D13" s="5" t="inlineStr">
        <is>
          <t>Contingency drawdown may exceed delegated approval threshold</t>
        </is>
      </c>
      <c r="E13" s="5" t="inlineStr">
        <is>
          <t>Rental gateways and repeated SAT</t>
        </is>
      </c>
      <c r="F13" s="5" t="inlineStr">
        <is>
          <t>Forecast contingency usage &gt;75%</t>
        </is>
      </c>
      <c r="G13" s="5" t="n">
        <v>2</v>
      </c>
      <c r="H13" s="5" t="n">
        <v>4</v>
      </c>
      <c r="I13" s="8">
        <f>G13*H13</f>
        <v/>
      </c>
      <c r="J13" s="8">
        <f>IF(I13&gt;=15,"Critical",IF(I13&gt;=10,"High",IF(I13&gt;=5,"Medium","Low")))</f>
        <v/>
      </c>
      <c r="K13" s="5" t="inlineStr">
        <is>
          <t>Escalate</t>
        </is>
      </c>
      <c r="L13" s="5" t="inlineStr">
        <is>
          <t>Weekly forecast to sponsor and finance</t>
        </is>
      </c>
      <c r="M13" s="5" t="inlineStr">
        <is>
          <t>Stage acceptance to stop further spend</t>
        </is>
      </c>
      <c r="N13" s="5" t="inlineStr">
        <is>
          <t>Project Manager</t>
        </is>
      </c>
      <c r="O13" s="6" t="inlineStr">
        <is>
          <t>2026-04-07</t>
        </is>
      </c>
      <c r="P13" s="5" t="inlineStr">
        <is>
          <t>Open</t>
        </is>
      </c>
      <c r="Q13" s="6" t="inlineStr">
        <is>
          <t>2026-03-31</t>
        </is>
      </c>
      <c r="R13" s="5" t="inlineStr">
        <is>
          <t>Mar report</t>
        </is>
      </c>
      <c r="S13" s="5" t="inlineStr"/>
    </row>
    <row r="14">
      <c r="A14" s="5" t="inlineStr">
        <is>
          <t>R-13</t>
        </is>
      </c>
      <c r="B14" s="6" t="inlineStr">
        <is>
          <t>2026-03-15</t>
        </is>
      </c>
      <c r="C14" s="5" t="inlineStr">
        <is>
          <t>Documentation</t>
        </is>
      </c>
      <c r="D14" s="5" t="inlineStr">
        <is>
          <t>O&amp;M manuals may not be fully updated before handover</t>
        </is>
      </c>
      <c r="E14" s="5" t="inlineStr">
        <is>
          <t>Multiple redlines from site team</t>
        </is>
      </c>
      <c r="F14" s="5" t="inlineStr">
        <is>
          <t>More than 10 markups outstanding by 15 Apr</t>
        </is>
      </c>
      <c r="G14" s="5" t="n">
        <v>2</v>
      </c>
      <c r="H14" s="5" t="n">
        <v>2</v>
      </c>
      <c r="I14" s="10">
        <f>G14*H14</f>
        <v/>
      </c>
      <c r="J14" s="10">
        <f>IF(I14&gt;=15,"Critical",IF(I14&gt;=10,"High",IF(I14&gt;=5,"Medium","Low")))</f>
        <v/>
      </c>
      <c r="K14" s="5" t="inlineStr">
        <is>
          <t>Mitigate</t>
        </is>
      </c>
      <c r="L14" s="5" t="inlineStr">
        <is>
          <t>Assign document controller to final compilation</t>
        </is>
      </c>
      <c r="M14" s="5" t="inlineStr">
        <is>
          <t>Issue interim quick reference guide at training</t>
        </is>
      </c>
      <c r="N14" s="5" t="inlineStr"/>
      <c r="O14" s="5" t="n"/>
      <c r="P14" s="5" t="inlineStr">
        <is>
          <t>Open</t>
        </is>
      </c>
      <c r="Q14" s="6" t="inlineStr">
        <is>
          <t>2026-03-31</t>
        </is>
      </c>
      <c r="R14" s="5" t="inlineStr">
        <is>
          <t>Mar report</t>
        </is>
      </c>
      <c r="S14" s="5" t="inlineStr">
        <is>
          <t>Intentionally missing owner/target</t>
        </is>
      </c>
    </row>
    <row r="15">
      <c r="A15" s="5" t="inlineStr">
        <is>
          <t>R-14</t>
        </is>
      </c>
      <c r="B15" s="6" t="inlineStr">
        <is>
          <t>2026-03-18</t>
        </is>
      </c>
      <c r="C15" s="5" t="inlineStr">
        <is>
          <t>Third Party</t>
        </is>
      </c>
      <c r="D15" s="5" t="inlineStr">
        <is>
          <t>Network switch firmware patch from OEM may arrive later than promised</t>
        </is>
      </c>
      <c r="E15" s="5" t="inlineStr">
        <is>
          <t>Dependency on OEM lab confirmation</t>
        </is>
      </c>
      <c r="F15" s="5" t="inlineStr">
        <is>
          <t>Patch release note not issued by 04 Apr</t>
        </is>
      </c>
      <c r="G15" s="5" t="n">
        <v>2</v>
      </c>
      <c r="H15" s="5" t="n">
        <v>5</v>
      </c>
      <c r="I15" s="7">
        <f>G15*H15</f>
        <v/>
      </c>
      <c r="J15" s="7">
        <f>IF(I15&gt;=15,"Critical",IF(I15&gt;=10,"High",IF(I15&gt;=5,"Medium","Low")))</f>
        <v/>
      </c>
      <c r="K15" s="5" t="inlineStr">
        <is>
          <t>Mitigate</t>
        </is>
      </c>
      <c r="L15" s="5" t="inlineStr">
        <is>
          <t>Keep current firmware with known workaround on isolated VLAN</t>
        </is>
      </c>
      <c r="M15" s="5" t="inlineStr">
        <is>
          <t>Use spare switch and rollback plan during SAT</t>
        </is>
      </c>
      <c r="N15" s="5" t="inlineStr">
        <is>
          <t>OEM / Vendor PM</t>
        </is>
      </c>
      <c r="O15" s="6" t="inlineStr">
        <is>
          <t>2026-04-04</t>
        </is>
      </c>
      <c r="P15" s="5" t="inlineStr">
        <is>
          <t>Monitoring</t>
        </is>
      </c>
      <c r="Q15" s="6" t="inlineStr">
        <is>
          <t>2026-03-30</t>
        </is>
      </c>
      <c r="R15" s="5" t="inlineStr">
        <is>
          <t>Mar report</t>
        </is>
      </c>
      <c r="S15" s="5" t="inlineStr"/>
    </row>
  </sheetData>
  <autoFilter ref="A1:S1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Description</t>
        </is>
      </c>
      <c r="D1" t="inlineStr">
        <is>
          <t>Impact</t>
        </is>
      </c>
      <c r="E1" t="inlineStr">
        <is>
          <t>Description</t>
        </is>
      </c>
    </row>
    <row r="2">
      <c r="A2" t="n">
        <v>1</v>
      </c>
      <c r="B2" t="inlineStr">
        <is>
          <t>Very Low</t>
        </is>
      </c>
      <c r="D2" t="n">
        <v>1</v>
      </c>
      <c r="E2" t="inlineStr">
        <is>
          <t>Negligible</t>
        </is>
      </c>
    </row>
    <row r="3">
      <c r="A3" t="n">
        <v>2</v>
      </c>
      <c r="B3" t="inlineStr">
        <is>
          <t>Low</t>
        </is>
      </c>
      <c r="D3" t="n">
        <v>2</v>
      </c>
      <c r="E3" t="inlineStr">
        <is>
          <t>Minor</t>
        </is>
      </c>
    </row>
    <row r="4">
      <c r="A4" t="n">
        <v>3</v>
      </c>
      <c r="B4" t="inlineStr">
        <is>
          <t>Medium</t>
        </is>
      </c>
      <c r="D4" t="n">
        <v>3</v>
      </c>
      <c r="E4" t="inlineStr">
        <is>
          <t>Moderate</t>
        </is>
      </c>
    </row>
    <row r="5">
      <c r="A5" t="n">
        <v>4</v>
      </c>
      <c r="B5" t="inlineStr">
        <is>
          <t>High</t>
        </is>
      </c>
      <c r="D5" t="n">
        <v>4</v>
      </c>
      <c r="E5" t="inlineStr">
        <is>
          <t>Major</t>
        </is>
      </c>
    </row>
    <row r="6">
      <c r="A6" t="n">
        <v>5</v>
      </c>
      <c r="B6" t="inlineStr">
        <is>
          <t>Very High</t>
        </is>
      </c>
      <c r="D6" t="n">
        <v>5</v>
      </c>
      <c r="E6" t="inlineStr">
        <is>
          <t>Severe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Synthetic project data for take-home assessment</t>
        </is>
      </c>
    </row>
    <row r="3">
      <c r="A3" t="inlineStr">
        <is>
          <t>Project</t>
        </is>
      </c>
      <c r="B3" t="inlineStr">
        <is>
          <t>Southern Corridor Smart Bus Depot Upgrade</t>
        </is>
      </c>
    </row>
    <row r="4">
      <c r="A4" t="inlineStr">
        <is>
          <t>Source note</t>
        </is>
      </c>
      <c r="B4" t="inlineStr">
        <is>
          <t>Values are synthetic but follow common PMO reporting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2026-04-16T14:55:17Z</dcterms:created>
  <dcterms:modified xmlns:dcterms="http://purl.org/dc/terms/" xmlns:xsi="http://www.w3.org/2001/XMLSchema-instance" xsi:type="dcterms:W3CDTF">2026-04-16T14:55:17Z</dcterms:modified>
</cp:coreProperties>
</file>